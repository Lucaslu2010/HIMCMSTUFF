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8_{D5C3316B-29F3-C842-82EE-420CA533E03E}" xr6:coauthVersionLast="47" xr6:coauthVersionMax="47" xr10:uidLastSave="{00000000-0000-0000-0000-000000000000}"/>
  <bookViews>
    <workbookView xWindow="1080" yWindow="1180" windowWidth="27640" windowHeight="16180" xr2:uid="{5333C114-4DFF-E847-94AB-7BD1884DBA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<sst xmlns="http://schemas.openxmlformats.org/spreadsheetml/2006/main" count="149" uniqueCount="89">
  <si>
    <t>类别</t>
  </si>
  <si>
    <t>city</t>
  </si>
  <si>
    <t>state</t>
  </si>
  <si>
    <t>stadium</t>
  </si>
  <si>
    <t>egrid_subregion</t>
  </si>
  <si>
    <t>egrid_co2_kg_per_mwh</t>
  </si>
  <si>
    <t>re_share_grid_1</t>
  </si>
  <si>
    <t>re_share_grid_2</t>
  </si>
  <si>
    <t>water_risk_0to5</t>
  </si>
  <si>
    <t>feb_temp_c</t>
  </si>
  <si>
    <t>feb_precip_mm</t>
  </si>
  <si>
    <t>pt_access_score_0to1</t>
  </si>
  <si>
    <t>airport_hub_score_0to1</t>
  </si>
  <si>
    <t>leed_level</t>
  </si>
  <si>
    <t>iso20121</t>
  </si>
  <si>
    <t>true_zerowaste</t>
  </si>
  <si>
    <t>已举办/确定未来举办</t>
  </si>
  <si>
    <t>Inglewood</t>
  </si>
  <si>
    <t>CA</t>
  </si>
  <si>
    <t>SoFi Stadium</t>
  </si>
  <si>
    <t>CAMX</t>
  </si>
  <si>
    <t>&gt;80%</t>
  </si>
  <si>
    <t>silver</t>
  </si>
  <si>
    <t>Las Vegas</t>
  </si>
  <si>
    <t>NV</t>
  </si>
  <si>
    <t>Allegiant Stadium</t>
  </si>
  <si>
    <t>AZNM</t>
  </si>
  <si>
    <t>&lt;10%</t>
  </si>
  <si>
    <t>gold</t>
  </si>
  <si>
    <t>New Orleans</t>
  </si>
  <si>
    <t>LA</t>
  </si>
  <si>
    <t>Caesars Superdome</t>
  </si>
  <si>
    <t>SRMV</t>
  </si>
  <si>
    <t>none</t>
  </si>
  <si>
    <t>Glendale (Phoenix)</t>
  </si>
  <si>
    <t>AZ</t>
  </si>
  <si>
    <t>State Farm Stadium</t>
  </si>
  <si>
    <t>Atlanta</t>
  </si>
  <si>
    <t>GA</t>
  </si>
  <si>
    <t>Mercedes-Benz Stadium</t>
  </si>
  <si>
    <t>SRSO</t>
  </si>
  <si>
    <t>20-40%</t>
  </si>
  <si>
    <t>platinum</t>
  </si>
  <si>
    <t>历史主办城</t>
  </si>
  <si>
    <t>Miami</t>
  </si>
  <si>
    <t>FL</t>
  </si>
  <si>
    <t>Hard Rock Stadium</t>
  </si>
  <si>
    <t>FRCC</t>
  </si>
  <si>
    <t>40-80%</t>
  </si>
  <si>
    <t>Houston</t>
  </si>
  <si>
    <t>TX</t>
  </si>
  <si>
    <t>NRG Stadium</t>
  </si>
  <si>
    <t>ERCT</t>
  </si>
  <si>
    <t>潜在新城市</t>
  </si>
  <si>
    <t>Seattle</t>
  </si>
  <si>
    <t>WA</t>
  </si>
  <si>
    <t>Lumen Field</t>
  </si>
  <si>
    <t>NWPP</t>
  </si>
  <si>
    <t>10-20%</t>
  </si>
  <si>
    <t>Los Angeles</t>
  </si>
  <si>
    <t>Los Angeles Memorial Coliseum</t>
  </si>
  <si>
    <t>Indianapolis</t>
  </si>
  <si>
    <t>IN</t>
  </si>
  <si>
    <t>Lucas Oil Stadium</t>
  </si>
  <si>
    <t>RFCW</t>
  </si>
  <si>
    <t>San Diego</t>
  </si>
  <si>
    <t>San Diego Stadium（现已拆除）</t>
  </si>
  <si>
    <t>Minneapolis</t>
  </si>
  <si>
    <t>MN</t>
  </si>
  <si>
    <t>U.S. Bank Stadium</t>
  </si>
  <si>
    <t>MROW</t>
  </si>
  <si>
    <t>Platinum</t>
  </si>
  <si>
    <t>Jacksonville</t>
  </si>
  <si>
    <t>Everbank Stadium</t>
  </si>
  <si>
    <t>Tampa</t>
  </si>
  <si>
    <t>Raymond James Stadium</t>
  </si>
  <si>
    <t>Santa Clara</t>
  </si>
  <si>
    <t>Levi's Stadium</t>
  </si>
  <si>
    <t>Arlington</t>
  </si>
  <si>
    <t>AT&amp;T Stadium</t>
  </si>
  <si>
    <t>RFCE</t>
  </si>
  <si>
    <t>Detroit</t>
  </si>
  <si>
    <t>MI</t>
  </si>
  <si>
    <t>Ford Field</t>
  </si>
  <si>
    <t>RFCM</t>
  </si>
  <si>
    <t>Stanford</t>
  </si>
  <si>
    <t>Stanford Stadium</t>
  </si>
  <si>
    <t>Tempe</t>
  </si>
  <si>
    <t>Sun Devil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</si>
</sst>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宋体"/>
      <charset val="134"/>
    </font>
    <font>
      <sz val="11"/>
      <color rgb="FF000000"/>
      <name val="Aptos Narrow"/>
      <scheme val="minor"/>
    </font>
    <font>
      <sz val="12"/>
      <color rgb="FF1B1B1B"/>
      <name val="Aptos Narrow"/>
      <scheme val="minor"/>
    </font>
    <font>
      <sz val="12"/>
      <color rgb="FF000000"/>
      <name val="宋体"/>
      <charset val="134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C4E8-F6D3-1E4A-AC28-8D065AB70759}">
  <dimension ref="A1:P20"/>
  <sheetViews>
    <sheetView tabSelected="1" workbookViewId="0">
      <selection activeCell="P1" sqref="P1"/>
    </sheetView>
  </sheetViews>
  <sheetFormatPr baseColWidth="10" defaultRowHeight="16"/>
  <cols>
    <col min="10" max="10" width="21.33203125" customWidth="1"/>
  </cols>
  <sheetData>
    <row r="1" spans="1:16" ht="5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51">
      <c r="A2" s="4" t="s">
        <v>16</v>
      </c>
      <c r="B2" s="3" t="s">
        <v>17</v>
      </c>
      <c r="C2" s="3" t="s">
        <v>18</v>
      </c>
      <c r="D2" s="5" t="s">
        <v>19</v>
      </c>
      <c r="E2" s="2" t="s">
        <v>20</v>
      </c>
      <c r="F2" s="3">
        <f>593.84*0.4536</f>
        <v>269.36582400000003</v>
      </c>
      <c r="G2" s="4">
        <f>1065.2/6816.7</f>
        <v>0.15626329455601684</v>
      </c>
      <c r="H2" s="2">
        <f>350.1/1244.7</f>
        <v>0.28127259580621838</v>
      </c>
      <c r="I2" s="2" t="s">
        <v>21</v>
      </c>
      <c r="J2" s="3">
        <v>15</v>
      </c>
      <c r="K2" s="3">
        <v>60</v>
      </c>
      <c r="L2" s="3">
        <v>0.5</v>
      </c>
      <c r="M2" s="2">
        <v>0.7</v>
      </c>
      <c r="N2" s="2" t="s">
        <v>22</v>
      </c>
      <c r="O2" s="3">
        <v>1</v>
      </c>
      <c r="P2" s="3">
        <v>1</v>
      </c>
    </row>
    <row r="3" spans="1:16" ht="51">
      <c r="A3" s="4" t="s">
        <v>16</v>
      </c>
      <c r="B3" s="3" t="s">
        <v>23</v>
      </c>
      <c r="C3" s="3" t="s">
        <v>24</v>
      </c>
      <c r="D3" s="5" t="s">
        <v>25</v>
      </c>
      <c r="E3" s="2" t="s">
        <v>26</v>
      </c>
      <c r="F3" s="3">
        <f>827.69*0.4536</f>
        <v>375.44018400000004</v>
      </c>
      <c r="G3" s="4">
        <f>74.9/689.4</f>
        <v>0.10864519872352772</v>
      </c>
      <c r="H3" s="2">
        <f>52.7/264.4</f>
        <v>0.19931921331316191</v>
      </c>
      <c r="I3" s="2" t="s">
        <v>27</v>
      </c>
      <c r="J3" s="3">
        <v>12</v>
      </c>
      <c r="K3" s="3">
        <v>8</v>
      </c>
      <c r="L3" s="3">
        <v>0.5</v>
      </c>
      <c r="M3" s="2">
        <v>0.7</v>
      </c>
      <c r="N3" s="2" t="s">
        <v>28</v>
      </c>
      <c r="O3" s="3">
        <v>0</v>
      </c>
      <c r="P3" s="3">
        <v>0</v>
      </c>
    </row>
    <row r="4" spans="1:16" ht="51">
      <c r="A4" s="4" t="s">
        <v>16</v>
      </c>
      <c r="B4" s="3" t="s">
        <v>29</v>
      </c>
      <c r="C4" s="3" t="s">
        <v>30</v>
      </c>
      <c r="D4" s="5" t="s">
        <v>31</v>
      </c>
      <c r="E4" s="2" t="s">
        <v>32</v>
      </c>
      <c r="F4" s="3">
        <f>1147.96*0.4536</f>
        <v>520.71465599999999</v>
      </c>
      <c r="G4" s="4">
        <f>414.8/1405.3</f>
        <v>0.29516829146801399</v>
      </c>
      <c r="H4" s="2">
        <f>146.9/380.2</f>
        <v>0.38637559179379277</v>
      </c>
      <c r="I4" s="2" t="s">
        <v>27</v>
      </c>
      <c r="J4" s="6">
        <v>14</v>
      </c>
      <c r="K4" s="3">
        <v>103</v>
      </c>
      <c r="L4" s="3">
        <v>0.3</v>
      </c>
      <c r="M4" s="3">
        <v>0.3</v>
      </c>
      <c r="N4" s="3" t="s">
        <v>33</v>
      </c>
      <c r="O4" s="3">
        <v>0</v>
      </c>
      <c r="P4" s="3">
        <v>0</v>
      </c>
    </row>
    <row r="5" spans="1:16" ht="51">
      <c r="A5" s="4" t="s">
        <v>16</v>
      </c>
      <c r="B5" s="3" t="s">
        <v>34</v>
      </c>
      <c r="C5" s="3" t="s">
        <v>35</v>
      </c>
      <c r="D5" s="5" t="s">
        <v>36</v>
      </c>
      <c r="E5" s="2" t="s">
        <v>26</v>
      </c>
      <c r="F5" s="3">
        <f>961.11*0.4536</f>
        <v>435.959496</v>
      </c>
      <c r="G5" s="4">
        <f>108.4/1526.6</f>
        <v>7.1007467575003286E-2</v>
      </c>
      <c r="H5" s="2">
        <f>54.9/929.4</f>
        <v>5.9070367979341509E-2</v>
      </c>
      <c r="I5" s="2" t="s">
        <v>21</v>
      </c>
      <c r="J5" s="3">
        <v>15</v>
      </c>
      <c r="K5" s="3">
        <v>26</v>
      </c>
      <c r="L5" s="3">
        <v>1</v>
      </c>
      <c r="M5" s="2">
        <v>0.7</v>
      </c>
      <c r="N5" s="2" t="s">
        <v>28</v>
      </c>
      <c r="O5" s="3">
        <v>0</v>
      </c>
      <c r="P5" s="3">
        <v>1</v>
      </c>
    </row>
    <row r="6" spans="1:16" ht="51">
      <c r="A6" s="4" t="s">
        <v>16</v>
      </c>
      <c r="B6" s="3" t="s">
        <v>37</v>
      </c>
      <c r="C6" s="3" t="s">
        <v>38</v>
      </c>
      <c r="D6" s="5" t="s">
        <v>39</v>
      </c>
      <c r="E6" s="2" t="s">
        <v>40</v>
      </c>
      <c r="F6" s="3">
        <f>1244.61*0.4536</f>
        <v>564.55509599999993</v>
      </c>
      <c r="G6" s="4">
        <f>291.5/2838.8</f>
        <v>0.10268423277441172</v>
      </c>
      <c r="H6" s="2">
        <f>62.4/1066.6</f>
        <v>5.8503656478529911E-2</v>
      </c>
      <c r="I6" s="2" t="s">
        <v>41</v>
      </c>
      <c r="J6" s="3">
        <v>9</v>
      </c>
      <c r="K6" s="3">
        <v>107</v>
      </c>
      <c r="L6" s="3">
        <v>1</v>
      </c>
      <c r="M6" s="3">
        <v>0.9</v>
      </c>
      <c r="N6" s="3" t="s">
        <v>42</v>
      </c>
      <c r="O6" s="3">
        <v>0</v>
      </c>
      <c r="P6" s="3">
        <v>1</v>
      </c>
    </row>
    <row r="7" spans="1:16" ht="34">
      <c r="A7" s="4" t="s">
        <v>43</v>
      </c>
      <c r="B7" s="3" t="s">
        <v>44</v>
      </c>
      <c r="C7" s="3" t="s">
        <v>45</v>
      </c>
      <c r="D7" s="5" t="s">
        <v>46</v>
      </c>
      <c r="E7" s="2" t="s">
        <v>47</v>
      </c>
      <c r="F7" s="3">
        <f>2876.45*0.4536</f>
        <v>1304.7577199999998</v>
      </c>
      <c r="G7" s="4">
        <f>286.3/4301.7</f>
        <v>6.6555082874212523E-2</v>
      </c>
      <c r="H7" s="2">
        <f>79.2/1970.5</f>
        <v>4.0192844455721896E-2</v>
      </c>
      <c r="I7" s="2" t="s">
        <v>48</v>
      </c>
      <c r="J7" s="3">
        <v>22</v>
      </c>
      <c r="K7" s="3">
        <v>57</v>
      </c>
      <c r="L7" s="3">
        <v>0.8</v>
      </c>
      <c r="M7" s="2">
        <v>0.7</v>
      </c>
      <c r="N7" s="2" t="s">
        <v>28</v>
      </c>
      <c r="O7" s="3">
        <v>1</v>
      </c>
      <c r="P7" s="3">
        <v>0</v>
      </c>
    </row>
    <row r="8" spans="1:16" ht="34">
      <c r="A8" s="4" t="s">
        <v>43</v>
      </c>
      <c r="B8" s="3" t="s">
        <v>49</v>
      </c>
      <c r="C8" s="3" t="s">
        <v>50</v>
      </c>
      <c r="D8" s="5" t="s">
        <v>51</v>
      </c>
      <c r="E8" s="2" t="s">
        <v>52</v>
      </c>
      <c r="F8" s="3">
        <f>1625.61*0.4536</f>
        <v>737.37669599999992</v>
      </c>
      <c r="G8" s="4">
        <f>791.2/14137.5</f>
        <v>5.5964633068081346E-2</v>
      </c>
      <c r="H8" s="2">
        <f>515.3/3789</f>
        <v>0.13599894431248349</v>
      </c>
      <c r="I8" s="2" t="s">
        <v>41</v>
      </c>
      <c r="J8" s="3">
        <v>15</v>
      </c>
      <c r="K8" s="3">
        <v>52</v>
      </c>
      <c r="L8" s="3">
        <v>1</v>
      </c>
      <c r="M8" s="2">
        <v>0.7</v>
      </c>
      <c r="N8" s="2" t="s">
        <v>33</v>
      </c>
      <c r="O8" s="3">
        <v>0</v>
      </c>
      <c r="P8" s="3">
        <v>0</v>
      </c>
    </row>
    <row r="9" spans="1:16" ht="34">
      <c r="A9" s="4" t="s">
        <v>53</v>
      </c>
      <c r="B9" s="3" t="s">
        <v>54</v>
      </c>
      <c r="C9" s="3" t="s">
        <v>55</v>
      </c>
      <c r="D9" s="5" t="s">
        <v>56</v>
      </c>
      <c r="E9" s="2" t="s">
        <v>57</v>
      </c>
      <c r="F9" s="3">
        <f>3078*0.4536</f>
        <v>1396.1808000000001</v>
      </c>
      <c r="G9" s="4">
        <f>366/1602.7</f>
        <v>0.22836463467897922</v>
      </c>
      <c r="H9" s="2">
        <f>243/493.3</f>
        <v>0.49260085140887899</v>
      </c>
      <c r="I9" s="2" t="s">
        <v>58</v>
      </c>
      <c r="J9" s="3">
        <v>7</v>
      </c>
      <c r="K9" s="3">
        <v>94</v>
      </c>
      <c r="L9" s="3">
        <v>1</v>
      </c>
      <c r="M9" s="2">
        <v>0.7</v>
      </c>
      <c r="N9" s="2" t="s">
        <v>33</v>
      </c>
      <c r="O9" s="3">
        <v>0</v>
      </c>
      <c r="P9" s="3">
        <v>1</v>
      </c>
    </row>
    <row r="10" spans="1:16" ht="51">
      <c r="A10" s="1" t="s">
        <v>16</v>
      </c>
      <c r="B10" s="7" t="s">
        <v>59</v>
      </c>
      <c r="C10" s="2" t="s">
        <v>18</v>
      </c>
      <c r="D10" s="8" t="s">
        <v>60</v>
      </c>
      <c r="E10" s="2" t="s">
        <v>20</v>
      </c>
      <c r="F10" s="3">
        <f>1027*0.4536</f>
        <v>465.84719999999999</v>
      </c>
      <c r="G10" s="4">
        <f>1065.2/6816.7</f>
        <v>0.15626329455601684</v>
      </c>
      <c r="H10" s="2">
        <f>350.1/1244.7</f>
        <v>0.28127259580621838</v>
      </c>
      <c r="I10" s="2" t="s">
        <v>48</v>
      </c>
      <c r="J10" s="3">
        <v>15</v>
      </c>
      <c r="K10" s="3">
        <v>116</v>
      </c>
      <c r="L10" s="3">
        <v>0.5</v>
      </c>
      <c r="M10" s="2">
        <v>0.7</v>
      </c>
      <c r="N10" s="2" t="s">
        <v>28</v>
      </c>
      <c r="O10" s="3">
        <v>0</v>
      </c>
      <c r="P10" s="3">
        <v>0</v>
      </c>
    </row>
    <row r="11" spans="1:16" ht="34">
      <c r="A11" s="1" t="s">
        <v>16</v>
      </c>
      <c r="B11" s="9" t="s">
        <v>61</v>
      </c>
      <c r="C11" s="2" t="s">
        <v>62</v>
      </c>
      <c r="D11" s="8" t="s">
        <v>63</v>
      </c>
      <c r="E11" s="2" t="s">
        <v>64</v>
      </c>
      <c r="F11" s="3">
        <f>1286*0.4536</f>
        <v>583.32960000000003</v>
      </c>
      <c r="G11" s="4">
        <f>172.9/2555.9</f>
        <v>6.764740404554169E-2</v>
      </c>
      <c r="H11" s="2">
        <f>40.6/781.4</f>
        <v>5.1958024059380603E-2</v>
      </c>
      <c r="I11" s="2" t="s">
        <v>21</v>
      </c>
      <c r="J11" s="3">
        <v>0</v>
      </c>
      <c r="K11" s="3">
        <v>63</v>
      </c>
      <c r="L11" s="3">
        <v>0.3</v>
      </c>
      <c r="M11" s="2">
        <v>0.3</v>
      </c>
      <c r="N11" s="2" t="s">
        <v>33</v>
      </c>
      <c r="O11" s="3">
        <v>0</v>
      </c>
      <c r="P11" s="3">
        <v>0</v>
      </c>
    </row>
    <row r="12" spans="1:16" ht="64">
      <c r="A12" s="1" t="s">
        <v>16</v>
      </c>
      <c r="B12" s="9" t="s">
        <v>65</v>
      </c>
      <c r="C12" s="2" t="s">
        <v>18</v>
      </c>
      <c r="D12" s="10" t="s">
        <v>66</v>
      </c>
      <c r="E12" s="2" t="s">
        <v>20</v>
      </c>
      <c r="F12" s="3">
        <f>724.99*0.4536</f>
        <v>328.85546399999998</v>
      </c>
      <c r="G12" s="4">
        <f>1065.2/6816.7</f>
        <v>0.15626329455601684</v>
      </c>
      <c r="H12" s="2">
        <f>350.1/1244.7</f>
        <v>0.28127259580621838</v>
      </c>
      <c r="I12" s="2" t="s">
        <v>21</v>
      </c>
      <c r="J12" s="3">
        <v>14</v>
      </c>
      <c r="K12" s="3">
        <v>85</v>
      </c>
      <c r="L12" s="3">
        <v>0.9</v>
      </c>
      <c r="M12" s="11">
        <v>0.5</v>
      </c>
      <c r="N12" s="11" t="s">
        <v>28</v>
      </c>
      <c r="O12" s="3">
        <v>0</v>
      </c>
      <c r="P12" s="3">
        <v>0</v>
      </c>
    </row>
    <row r="13" spans="1:16" ht="34">
      <c r="A13" s="1" t="s">
        <v>16</v>
      </c>
      <c r="B13" s="9" t="s">
        <v>67</v>
      </c>
      <c r="C13" s="2" t="s">
        <v>68</v>
      </c>
      <c r="D13" s="8" t="s">
        <v>69</v>
      </c>
      <c r="E13" s="2" t="s">
        <v>70</v>
      </c>
      <c r="F13" s="3">
        <f>1228*0.4536</f>
        <v>557.02080000000001</v>
      </c>
      <c r="G13" s="4">
        <f>223.9/1689.4</f>
        <v>0.13253225997395524</v>
      </c>
      <c r="H13" s="2">
        <f>67/452.8</f>
        <v>0.14796819787985865</v>
      </c>
      <c r="I13" s="2" t="s">
        <v>48</v>
      </c>
      <c r="J13" s="3">
        <v>-7</v>
      </c>
      <c r="K13" s="3">
        <v>22</v>
      </c>
      <c r="L13" s="3">
        <v>0.9</v>
      </c>
      <c r="M13" s="11">
        <v>0.5</v>
      </c>
      <c r="N13" s="11" t="s">
        <v>71</v>
      </c>
      <c r="O13" s="3">
        <v>0</v>
      </c>
      <c r="P13" s="3">
        <v>0</v>
      </c>
    </row>
    <row r="14" spans="1:16" ht="34">
      <c r="A14" s="1" t="s">
        <v>16</v>
      </c>
      <c r="B14" s="9" t="s">
        <v>72</v>
      </c>
      <c r="C14" s="2" t="s">
        <v>45</v>
      </c>
      <c r="D14" s="8" t="s">
        <v>73</v>
      </c>
      <c r="E14" s="2" t="s">
        <v>47</v>
      </c>
      <c r="F14" s="3">
        <f>664.83*0.4536</f>
        <v>301.56688800000001</v>
      </c>
      <c r="G14" s="4">
        <f>286.3/4301.7</f>
        <v>6.6555082874212523E-2</v>
      </c>
      <c r="H14" s="2">
        <f>79.2/1970.5</f>
        <v>4.0192844455721896E-2</v>
      </c>
      <c r="I14" s="2" t="s">
        <v>48</v>
      </c>
      <c r="J14" s="3">
        <v>15</v>
      </c>
      <c r="K14" s="3">
        <v>73</v>
      </c>
      <c r="L14" s="3">
        <v>0.3</v>
      </c>
      <c r="M14" s="11">
        <v>0.7</v>
      </c>
      <c r="N14" s="11" t="s">
        <v>71</v>
      </c>
      <c r="O14" s="3">
        <v>0</v>
      </c>
      <c r="P14" s="3">
        <v>0</v>
      </c>
    </row>
    <row r="15" spans="1:16" ht="48">
      <c r="A15" s="1" t="s">
        <v>16</v>
      </c>
      <c r="B15" s="9" t="s">
        <v>74</v>
      </c>
      <c r="C15" s="2" t="s">
        <v>45</v>
      </c>
      <c r="D15" s="10" t="s">
        <v>75</v>
      </c>
      <c r="E15" s="2" t="s">
        <v>47</v>
      </c>
      <c r="F15" s="3">
        <f>2365*0.4536</f>
        <v>1072.7639999999999</v>
      </c>
      <c r="G15" s="4">
        <f>286.3/4301.7</f>
        <v>6.6555082874212523E-2</v>
      </c>
      <c r="H15" s="2">
        <f>79.2/1970.5</f>
        <v>4.0192844455721896E-2</v>
      </c>
      <c r="I15" s="2" t="s">
        <v>48</v>
      </c>
      <c r="J15" s="3">
        <v>19</v>
      </c>
      <c r="K15" s="3">
        <v>59</v>
      </c>
      <c r="L15" s="3">
        <v>0.9</v>
      </c>
      <c r="M15" s="2">
        <v>0.5</v>
      </c>
      <c r="N15" s="2" t="s">
        <v>33</v>
      </c>
      <c r="O15" s="3">
        <v>0</v>
      </c>
      <c r="P15" s="3">
        <v>0</v>
      </c>
    </row>
    <row r="16" spans="1:16" ht="34">
      <c r="A16" s="1" t="s">
        <v>16</v>
      </c>
      <c r="B16" s="7" t="s">
        <v>76</v>
      </c>
      <c r="C16" s="2" t="s">
        <v>18</v>
      </c>
      <c r="D16" s="8" t="s">
        <v>77</v>
      </c>
      <c r="E16" s="2" t="s">
        <v>20</v>
      </c>
      <c r="F16" s="3">
        <f>1748.6*0.4536</f>
        <v>793.16495999999995</v>
      </c>
      <c r="G16" s="4">
        <f>1065.2/6816.7</f>
        <v>0.15626329455601684</v>
      </c>
      <c r="H16" s="2">
        <f>350.1/1244.7</f>
        <v>0.28127259580621838</v>
      </c>
      <c r="I16" s="2" t="s">
        <v>58</v>
      </c>
      <c r="J16" s="3">
        <v>12</v>
      </c>
      <c r="K16" s="3">
        <v>93</v>
      </c>
      <c r="L16" s="3">
        <v>0.9</v>
      </c>
      <c r="M16" s="2">
        <v>0.3</v>
      </c>
      <c r="N16" s="2" t="s">
        <v>28</v>
      </c>
      <c r="O16" s="3">
        <v>0</v>
      </c>
      <c r="P16" s="3">
        <v>0</v>
      </c>
    </row>
    <row r="17" spans="1:16" ht="32">
      <c r="A17" s="1" t="s">
        <v>16</v>
      </c>
      <c r="B17" s="12" t="s">
        <v>78</v>
      </c>
      <c r="C17" s="2" t="s">
        <v>50</v>
      </c>
      <c r="D17" s="10" t="s">
        <v>79</v>
      </c>
      <c r="E17" s="2" t="s">
        <v>80</v>
      </c>
      <c r="F17" s="3">
        <f>1163.89*0.4536</f>
        <v>527.94050400000003</v>
      </c>
      <c r="G17" s="4">
        <f>791.2/14137.5</f>
        <v>5.5964633068081346E-2</v>
      </c>
      <c r="H17" s="2">
        <f>515.3/3789</f>
        <v>0.13599894431248349</v>
      </c>
      <c r="I17" s="2" t="s">
        <v>21</v>
      </c>
      <c r="J17" s="3">
        <v>4</v>
      </c>
      <c r="K17" s="3">
        <v>66</v>
      </c>
      <c r="L17" s="3">
        <v>0.5</v>
      </c>
      <c r="M17" s="2">
        <v>0.5</v>
      </c>
      <c r="N17" s="2" t="s">
        <v>33</v>
      </c>
      <c r="O17" s="3">
        <v>0</v>
      </c>
      <c r="P17" s="3">
        <v>0</v>
      </c>
    </row>
    <row r="18" spans="1:16" ht="30">
      <c r="A18" s="1" t="s">
        <v>16</v>
      </c>
      <c r="B18" s="7" t="s">
        <v>81</v>
      </c>
      <c r="C18" s="2" t="s">
        <v>82</v>
      </c>
      <c r="D18" s="8" t="s">
        <v>83</v>
      </c>
      <c r="E18" s="2" t="s">
        <v>84</v>
      </c>
      <c r="F18" s="3">
        <f>1455.79*0.4536</f>
        <v>660.34634400000004</v>
      </c>
      <c r="G18" s="4">
        <f>198.5/2543.2</f>
        <v>7.8051273985530051E-2</v>
      </c>
      <c r="H18" s="2">
        <f>59.1/1042.3</f>
        <v>5.6701525472512719E-2</v>
      </c>
      <c r="I18" s="2" t="s">
        <v>27</v>
      </c>
      <c r="J18" s="3">
        <v>-2</v>
      </c>
      <c r="K18" s="3">
        <v>35</v>
      </c>
      <c r="L18" s="3">
        <v>0.3</v>
      </c>
      <c r="M18" s="2">
        <v>0.5</v>
      </c>
      <c r="N18" s="2" t="s">
        <v>33</v>
      </c>
      <c r="O18" s="3">
        <v>0</v>
      </c>
      <c r="P18" s="3">
        <v>0</v>
      </c>
    </row>
    <row r="19" spans="1:16" ht="32">
      <c r="A19" s="1" t="s">
        <v>16</v>
      </c>
      <c r="B19" s="7" t="s">
        <v>85</v>
      </c>
      <c r="C19" s="2" t="s">
        <v>18</v>
      </c>
      <c r="D19" s="10" t="s">
        <v>86</v>
      </c>
      <c r="E19" s="2" t="s">
        <v>20</v>
      </c>
      <c r="F19" s="3">
        <f>639.76*0.4536</f>
        <v>290.19513599999999</v>
      </c>
      <c r="G19" s="4">
        <f>1065.2/6816.7</f>
        <v>0.15626329455601684</v>
      </c>
      <c r="H19" s="2">
        <f>350.1/1244.7</f>
        <v>0.28127259580621838</v>
      </c>
      <c r="I19" s="2" t="s">
        <v>27</v>
      </c>
      <c r="J19" s="3">
        <v>12</v>
      </c>
      <c r="K19" s="3">
        <v>90</v>
      </c>
      <c r="L19" s="3">
        <v>0.9</v>
      </c>
      <c r="M19" s="2">
        <v>0.3</v>
      </c>
      <c r="N19" s="2" t="s">
        <v>33</v>
      </c>
      <c r="O19" s="3">
        <v>0</v>
      </c>
      <c r="P19" s="3">
        <v>0</v>
      </c>
    </row>
    <row r="20" spans="1:16" ht="34">
      <c r="A20" s="1" t="s">
        <v>16</v>
      </c>
      <c r="B20" s="7" t="s">
        <v>87</v>
      </c>
      <c r="C20" s="2" t="s">
        <v>35</v>
      </c>
      <c r="D20" s="8" t="s">
        <v>88</v>
      </c>
      <c r="E20" s="2" t="s">
        <v>26</v>
      </c>
      <c r="F20" s="3">
        <f>621.7*0.4536</f>
        <v>282.00312000000002</v>
      </c>
      <c r="G20" s="4">
        <f>108.4/1526.6</f>
        <v>7.1007467575003286E-2</v>
      </c>
      <c r="H20" s="2">
        <f>54.9/929.4</f>
        <v>5.9070367979341509E-2</v>
      </c>
      <c r="I20" s="2" t="s">
        <v>21</v>
      </c>
      <c r="J20" s="3">
        <v>14</v>
      </c>
      <c r="K20" s="3">
        <v>26</v>
      </c>
      <c r="L20" s="3">
        <v>1</v>
      </c>
      <c r="M20" s="2">
        <v>0.7</v>
      </c>
      <c r="N20" s="2" t="s">
        <v>28</v>
      </c>
      <c r="O20" s="3">
        <v>0</v>
      </c>
      <c r="P2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Lu 陆一鸣</dc:creator>
  <cp:lastModifiedBy>Lucas Lu 陆一鸣</cp:lastModifiedBy>
  <dcterms:created xsi:type="dcterms:W3CDTF">2025-11-10T11:17:29Z</dcterms:created>
  <dcterms:modified xsi:type="dcterms:W3CDTF">2025-11-10T11:29:46Z</dcterms:modified>
</cp:coreProperties>
</file>